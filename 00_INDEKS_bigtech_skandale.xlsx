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ks spraw" sheetId="1" state="visible" r:id="rId3"/>
    <sheet name="Struktura karty" sheetId="2" state="visible" r:id="rId4"/>
    <sheet name="Statystyk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<sst xmlns="http://schemas.openxmlformats.org/spreadsheetml/2006/main" count="573" uniqueCount="404">
  <si>
    <t xml:space="preserve">ID</t>
  </si>
  <si>
    <t xml:space="preserve">Nazwa sprawy</t>
  </si>
  <si>
    <t xml:space="preserve">Firma/firmy</t>
  </si>
  <si>
    <t xml:space="preserve">Kategoria</t>
  </si>
  <si>
    <t xml:space="preserve">Kraj/region</t>
  </si>
  <si>
    <t xml:space="preserve">Rok ujawnienia</t>
  </si>
  <si>
    <t xml:space="preserve">Lata trwania</t>
  </si>
  <si>
    <t xml:space="preserve">Łączna kara (EUR)</t>
  </si>
  <si>
    <t xml:space="preserve">Łączna kara (USD)</t>
  </si>
  <si>
    <t xml:space="preserve">Podstawa prawna</t>
  </si>
  <si>
    <t xml:space="preserve">Sygnalista/odkrywca</t>
  </si>
  <si>
    <t xml:space="preserve">Status</t>
  </si>
  <si>
    <t xml:space="preserve">Priorytet TOP</t>
  </si>
  <si>
    <t xml:space="preserve">Plik karty</t>
  </si>
  <si>
    <t xml:space="preserve">Grupa</t>
  </si>
  <si>
    <t xml:space="preserve">Karta gotowa</t>
  </si>
  <si>
    <t xml:space="preserve">A01</t>
  </si>
  <si>
    <t xml:space="preserve">Local Mess — śledzenie przez localhost na Androidzie</t>
  </si>
  <si>
    <t xml:space="preserve">Meta, Yandex, Google</t>
  </si>
  <si>
    <t xml:space="preserve">Śledzenie/prywatność</t>
  </si>
  <si>
    <t xml:space="preserve">UE, USA, globalnie</t>
  </si>
  <si>
    <t xml:space="preserve">2017–2025 (Yandex), 2024–2025 (Meta)</t>
  </si>
  <si>
    <t xml:space="preserve">—</t>
  </si>
  <si>
    <t xml:space="preserve">RODO, DMA, ePrivacy, prawo USA stanowe</t>
  </si>
  <si>
    <t xml:space="preserve">Aniketh Girish, Günes Acar, Narseo Vallina-Rodríguez i in. (IMDEA/Radboud/KU Leuven)</t>
  </si>
  <si>
    <t xml:space="preserve">Pozew zbiorowy w toku</t>
  </si>
  <si>
    <t xml:space="preserve">TAK</t>
  </si>
  <si>
    <t xml:space="preserve">A01_local_mess.md</t>
  </si>
  <si>
    <t xml:space="preserve">A — Meta</t>
  </si>
  <si>
    <t xml:space="preserve">✅ GOTOWA</t>
  </si>
  <si>
    <t xml:space="preserve">A02</t>
  </si>
  <si>
    <t xml:space="preserve">Cambridge Analytica</t>
  </si>
  <si>
    <t xml:space="preserve">Meta (Facebook), Cambridge Analytica</t>
  </si>
  <si>
    <t xml:space="preserve">Manipulacja wyborcza / dane</t>
  </si>
  <si>
    <t xml:space="preserve">USA, UK, globalnie</t>
  </si>
  <si>
    <t xml:space="preserve">2014–2018</t>
  </si>
  <si>
    <t xml:space="preserve">5 725 000 000</t>
  </si>
  <si>
    <t xml:space="preserve">FTC Act, GDPR, UK DPA</t>
  </si>
  <si>
    <t xml:space="preserve">Christopher Wylie (sygnalista), Carole Cadwalladr (dziennikarka Guardian)</t>
  </si>
  <si>
    <t xml:space="preserve">Zakończone — ugody wypłacone</t>
  </si>
  <si>
    <t xml:space="preserve">A02_cambridge_analytica.md</t>
  </si>
  <si>
    <t xml:space="preserve">A03</t>
  </si>
  <si>
    <t xml:space="preserve">Onavo / Facebook Research VPN</t>
  </si>
  <si>
    <t xml:space="preserve">Meta (Facebook)</t>
  </si>
  <si>
    <t xml:space="preserve">Szpiegowanie konkurencji / dzieci</t>
  </si>
  <si>
    <t xml:space="preserve">USA, globalnie</t>
  </si>
  <si>
    <t xml:space="preserve">2013–2019</t>
  </si>
  <si>
    <t xml:space="preserve">Apple Developer Terms, COPPA</t>
  </si>
  <si>
    <t xml:space="preserve">TechCrunch (Josh Constine)</t>
  </si>
  <si>
    <t xml:space="preserve">Zakończone — Onavo wyłączone</t>
  </si>
  <si>
    <t xml:space="preserve">NIE</t>
  </si>
  <si>
    <t xml:space="preserve">A03_onavo.md</t>
  </si>
  <si>
    <t xml:space="preserve">A04</t>
  </si>
  <si>
    <t xml:space="preserve">Wyciek 533 mln numerów</t>
  </si>
  <si>
    <t xml:space="preserve">Wyciek / scraping</t>
  </si>
  <si>
    <t xml:space="preserve">106 krajów</t>
  </si>
  <si>
    <t xml:space="preserve">2018–2019 (wyciek), 2021 (ujawnienie)</t>
  </si>
  <si>
    <t xml:space="preserve">265 000 000</t>
  </si>
  <si>
    <t xml:space="preserve">RODO art. 25 (privacy by design), art. 32</t>
  </si>
  <si>
    <t xml:space="preserve">Alon Gal (firma Hudson Rock)</t>
  </si>
  <si>
    <t xml:space="preserve">Zakończone — kara DPC</t>
  </si>
  <si>
    <t xml:space="preserve">A04_533mln.md</t>
  </si>
  <si>
    <t xml:space="preserve">A05</t>
  </si>
  <si>
    <t xml:space="preserve">Facebook Files / Frances Haugen</t>
  </si>
  <si>
    <t xml:space="preserve">Meta (Facebook, Instagram)</t>
  </si>
  <si>
    <t xml:space="preserve">Ukrywanie szkód / zdrowie publiczne</t>
  </si>
  <si>
    <t xml:space="preserve">USA, UE, globalnie</t>
  </si>
  <si>
    <t xml:space="preserve">2017–2021 (dokumenty)</t>
  </si>
  <si>
    <t xml:space="preserve">SEC disclosure, postępowania Kongresu USA, DSA (inspiracja)</t>
  </si>
  <si>
    <t xml:space="preserve">Frances Haugen (sygnalistka), Jeff Horwitz (WSJ)</t>
  </si>
  <si>
    <t xml:space="preserve">Wpłynęło na DSA</t>
  </si>
  <si>
    <t xml:space="preserve">A05_facebook_files.md</t>
  </si>
  <si>
    <t xml:space="preserve">A06</t>
  </si>
  <si>
    <t xml:space="preserve">Emotional Contagion Experiment</t>
  </si>
  <si>
    <t xml:space="preserve">Meta (Facebook), Cornell, UCSF</t>
  </si>
  <si>
    <t xml:space="preserve">Eksperyment bez zgody / etyka</t>
  </si>
  <si>
    <t xml:space="preserve">USA</t>
  </si>
  <si>
    <t xml:space="preserve">styczeń 2012 (eksperyment)</t>
  </si>
  <si>
    <t xml:space="preserve">Zasady badań na ludziach (Common Rule), etyka IRB</t>
  </si>
  <si>
    <t xml:space="preserve">Adam Kramer (FB), Jamie Guillory, Jeffrey Hancock; krytyka: Kashmir Hill</t>
  </si>
  <si>
    <t xml:space="preserve">Zakończone</t>
  </si>
  <si>
    <t xml:space="preserve">A06_emotional_contagion.md</t>
  </si>
  <si>
    <t xml:space="preserve">A07</t>
  </si>
  <si>
    <t xml:space="preserve">Kara 1,2 mld € DPC — transfery EU→USA</t>
  </si>
  <si>
    <t xml:space="preserve">Transfer danych / RODO</t>
  </si>
  <si>
    <t xml:space="preserve">UE, USA</t>
  </si>
  <si>
    <t xml:space="preserve">2020–2023 (po Schrems II)</t>
  </si>
  <si>
    <t xml:space="preserve">1 200 000 000</t>
  </si>
  <si>
    <t xml:space="preserve">RODO art. 46 ust. 1, Schrems II (C-311/18)</t>
  </si>
  <si>
    <t xml:space="preserve">Max Schrems / NOYB</t>
  </si>
  <si>
    <t xml:space="preserve">Apelacja Meta w toku</t>
  </si>
  <si>
    <t xml:space="preserve">A07_kara_1_2mld.md</t>
  </si>
  <si>
    <t xml:space="preserve">A08</t>
  </si>
  <si>
    <t xml:space="preserve">Kara 390 mln € DPC — reklamy behawioralne</t>
  </si>
  <si>
    <t xml:space="preserve">Podstawa prawna przetwarzania / RODO</t>
  </si>
  <si>
    <t xml:space="preserve">UE</t>
  </si>
  <si>
    <t xml:space="preserve">2018–2023</t>
  </si>
  <si>
    <t xml:space="preserve">390 000 000</t>
  </si>
  <si>
    <t xml:space="preserve">RODO art. 6 ust. 1 lit. b (wykonanie umowy)</t>
  </si>
  <si>
    <t xml:space="preserve">NOYB / Max Schrems (skargi z 2018)</t>
  </si>
  <si>
    <t xml:space="preserve">Zakończone — Meta zmieniła model</t>
  </si>
  <si>
    <t xml:space="preserve">A08_kara_390mln.md</t>
  </si>
  <si>
    <t xml:space="preserve">A09</t>
  </si>
  <si>
    <t xml:space="preserve">Kara DMA 200 mln € — consent or pay</t>
  </si>
  <si>
    <t xml:space="preserve">DMA / swobodna zgoda</t>
  </si>
  <si>
    <t xml:space="preserve">2023–2024</t>
  </si>
  <si>
    <t xml:space="preserve">200 000 000</t>
  </si>
  <si>
    <t xml:space="preserve">DMA art. 5 ust. 2</t>
  </si>
  <si>
    <t xml:space="preserve">Komisja Europejska (z urzędu)</t>
  </si>
  <si>
    <t xml:space="preserve">Apelacja Meta zapowiedziana</t>
  </si>
  <si>
    <t xml:space="preserve">A09_dma_200mln.md</t>
  </si>
  <si>
    <t xml:space="preserve">A10</t>
  </si>
  <si>
    <t xml:space="preserve">New Mexico v. Meta — ochrona dzieci</t>
  </si>
  <si>
    <t xml:space="preserve">Ochrona dzieci / prawo konsumenckie</t>
  </si>
  <si>
    <t xml:space="preserve">USA (NM)</t>
  </si>
  <si>
    <t xml:space="preserve">2023–2025 (proces)</t>
  </si>
  <si>
    <t xml:space="preserve">375 000 000</t>
  </si>
  <si>
    <t xml:space="preserve">Stanowe prawo ochrony konsumentów (NM UPA)</t>
  </si>
  <si>
    <t xml:space="preserve">NM AG Raúl Torrez</t>
  </si>
  <si>
    <t xml:space="preserve">Wyrok 03.2025, zapowiedziana apelacja Meta</t>
  </si>
  <si>
    <t xml:space="preserve">A10_new_mexico.md</t>
  </si>
  <si>
    <t xml:space="preserve">B01</t>
  </si>
  <si>
    <t xml:space="preserve">Wi-Fi Street View (Wi-Spy)</t>
  </si>
  <si>
    <t xml:space="preserve">Google (Alphabet)</t>
  </si>
  <si>
    <t xml:space="preserve">Przechwytywanie komunikacji</t>
  </si>
  <si>
    <t xml:space="preserve">2007–2010</t>
  </si>
  <si>
    <t xml:space="preserve">1 000 000+</t>
  </si>
  <si>
    <t xml:space="preserve">13 000 000+ (USA)</t>
  </si>
  <si>
    <t xml:space="preserve">Wiretap Act, prawo krajowe UE</t>
  </si>
  <si>
    <t xml:space="preserve">Niemiecki komisarz ochrony danych Hamburg (Johannes Caspar)</t>
  </si>
  <si>
    <t xml:space="preserve">Zakończone (kary w wielu krajach)</t>
  </si>
  <si>
    <t xml:space="preserve">B01_street_view_wifi.md</t>
  </si>
  <si>
    <t xml:space="preserve">B — Google</t>
  </si>
  <si>
    <t xml:space="preserve">B02</t>
  </si>
  <si>
    <t xml:space="preserve">Safari Workaround</t>
  </si>
  <si>
    <t xml:space="preserve">Omijanie ustawień prywatności przeglądarki</t>
  </si>
  <si>
    <t xml:space="preserve">USA, UE</t>
  </si>
  <si>
    <t xml:space="preserve">2011–2012</t>
  </si>
  <si>
    <t xml:space="preserve">39 500 000 (USA)</t>
  </si>
  <si>
    <t xml:space="preserve">FTC Act (zgoda), Wiretap Act</t>
  </si>
  <si>
    <t xml:space="preserve">Jonathan Mayer (Stanford)</t>
  </si>
  <si>
    <t xml:space="preserve">B02_safari_workaround.md</t>
  </si>
  <si>
    <t xml:space="preserve">B03</t>
  </si>
  <si>
    <t xml:space="preserve">Google+ API bugs</t>
  </si>
  <si>
    <t xml:space="preserve">Wyciek / zamknięcie produktu</t>
  </si>
  <si>
    <t xml:space="preserve">Globalnie</t>
  </si>
  <si>
    <t xml:space="preserve">2015–2018</t>
  </si>
  <si>
    <t xml:space="preserve">7 500 000</t>
  </si>
  <si>
    <t xml:space="preserve">SOX (ukrywanie), SEC disclosure</t>
  </si>
  <si>
    <t xml:space="preserve">WSJ (Douglas MacMillan, Robert McMillan)</t>
  </si>
  <si>
    <t xml:space="preserve">Zakończone — Google+ zamknięty</t>
  </si>
  <si>
    <t xml:space="preserve">B03_google_plus.md</t>
  </si>
  <si>
    <t xml:space="preserve">B04</t>
  </si>
  <si>
    <t xml:space="preserve">Location History — śledzenie mimo wyłączenia</t>
  </si>
  <si>
    <t xml:space="preserve">Śledzenie lokalizacji / transparentność</t>
  </si>
  <si>
    <t xml:space="preserve">506 500 000</t>
  </si>
  <si>
    <t xml:space="preserve">Stanowe prawo konsumenckie (40 stanów USA)</t>
  </si>
  <si>
    <t xml:space="preserve">Ryan Nakashima (Associated Press)</t>
  </si>
  <si>
    <t xml:space="preserve">Ugoda 40 stanów 2022 + AZ, WA, DC</t>
  </si>
  <si>
    <t xml:space="preserve">B04_location_history.md</t>
  </si>
  <si>
    <t xml:space="preserve">B05</t>
  </si>
  <si>
    <t xml:space="preserve">Brown v. Google — Incognito</t>
  </si>
  <si>
    <t xml:space="preserve">Wprowadzanie w błąd / śledzenie</t>
  </si>
  <si>
    <t xml:space="preserve">2016–2020 (okres objęty)</t>
  </si>
  <si>
    <t xml:space="preserve">5 000 000 000 (wartość ugody)</t>
  </si>
  <si>
    <t xml:space="preserve">Wiretap Act, CIPA</t>
  </si>
  <si>
    <t xml:space="preserve">Kancelaria Boies Schiller (pozew)</t>
  </si>
  <si>
    <t xml:space="preserve">Ugoda 2024 — Google niszczy miliardy rekordów</t>
  </si>
  <si>
    <t xml:space="preserve">B05_incognito.md</t>
  </si>
  <si>
    <t xml:space="preserve">B06</t>
  </si>
  <si>
    <t xml:space="preserve">Project Dragonfly — cenzurowana wyszukiwarka dla Chin</t>
  </si>
  <si>
    <t xml:space="preserve">Cenzura / bunt pracowniczy</t>
  </si>
  <si>
    <t xml:space="preserve">Chiny, USA</t>
  </si>
  <si>
    <t xml:space="preserve">2017–2019</t>
  </si>
  <si>
    <t xml:space="preserve">Brak — protest wewnętrzny + naciski polityczne</t>
  </si>
  <si>
    <t xml:space="preserve">The Intercept (Ryan Gallagher)</t>
  </si>
  <si>
    <t xml:space="preserve">Projekt wstrzymany 2019</t>
  </si>
  <si>
    <t xml:space="preserve">B06_dragonfly.md</t>
  </si>
  <si>
    <t xml:space="preserve">C01</t>
  </si>
  <si>
    <t xml:space="preserve">Batterygate</t>
  </si>
  <si>
    <t xml:space="preserve">Apple</t>
  </si>
  <si>
    <t xml:space="preserve">Ukryte spowalnianie / prawo konsumenckie</t>
  </si>
  <si>
    <t xml:space="preserve">2016–2017</t>
  </si>
  <si>
    <t xml:space="preserve">35 000 000+ (FR, IT)</t>
  </si>
  <si>
    <t xml:space="preserve">500 000 000</t>
  </si>
  <si>
    <t xml:space="preserve">Prawo konsumenckie (wprowadzanie w błąd)</t>
  </si>
  <si>
    <t xml:space="preserve">Reddit user 'TeckFire' / Geekbench (John Poole)</t>
  </si>
  <si>
    <t xml:space="preserve">Zakończone — ugody; 25 EUR per iPhone</t>
  </si>
  <si>
    <t xml:space="preserve">C01_batterygate.md</t>
  </si>
  <si>
    <t xml:space="preserve">C — Apple/MS</t>
  </si>
  <si>
    <t xml:space="preserve">C02</t>
  </si>
  <si>
    <t xml:space="preserve">Siri — wykonawcy słuchający nagrań</t>
  </si>
  <si>
    <t xml:space="preserve">Podsłuch / prywatność</t>
  </si>
  <si>
    <t xml:space="preserve">przed 2019</t>
  </si>
  <si>
    <t xml:space="preserve">95 000 000</t>
  </si>
  <si>
    <t xml:space="preserve">GDPR, prawo konsumenckie</t>
  </si>
  <si>
    <t xml:space="preserve">Anonimowy sygnalista + Alex Hern (The Guardian)</t>
  </si>
  <si>
    <t xml:space="preserve">Ugoda klasy 2024; prawdziwe zmiany 2019+</t>
  </si>
  <si>
    <t xml:space="preserve">C02_siri.md</t>
  </si>
  <si>
    <t xml:space="preserve">C03</t>
  </si>
  <si>
    <t xml:space="preserve">Plan skanowania CSAM</t>
  </si>
  <si>
    <t xml:space="preserve">Skanowanie na urządzeniu / precedens</t>
  </si>
  <si>
    <t xml:space="preserve">2021–2022</t>
  </si>
  <si>
    <t xml:space="preserve">Debata konstytucyjna (4 Amendment USA), RODO</t>
  </si>
  <si>
    <t xml:space="preserve">Matthew Green (Johns Hopkins), EFF, badacze kryptografii</t>
  </si>
  <si>
    <t xml:space="preserve">Niewdrożone; pozew Jane Doe 2024 (do 1,2 mld USD)</t>
  </si>
  <si>
    <t xml:space="preserve">C03_csam.md</t>
  </si>
  <si>
    <t xml:space="preserve">C04</t>
  </si>
  <si>
    <t xml:space="preserve">Microsoft Recall</t>
  </si>
  <si>
    <t xml:space="preserve">Microsoft</t>
  </si>
  <si>
    <t xml:space="preserve">Ciągłe screenshotowanie / bezpieczeństwo</t>
  </si>
  <si>
    <t xml:space="preserve">2024 (ogłoszenie)</t>
  </si>
  <si>
    <t xml:space="preserve">RODO art. 25, UK ICO interwencja</t>
  </si>
  <si>
    <t xml:space="preserve">Kevin Beaumont (doublepulsar)</t>
  </si>
  <si>
    <t xml:space="preserve">Wstrzymane 2024, rollout ograniczony 2025+</t>
  </si>
  <si>
    <t xml:space="preserve">C04_recall.md</t>
  </si>
  <si>
    <t xml:space="preserve">C05</t>
  </si>
  <si>
    <t xml:space="preserve">LinkedIn trening AI — domyślnie włączone</t>
  </si>
  <si>
    <t xml:space="preserve">Microsoft (LinkedIn)</t>
  </si>
  <si>
    <t xml:space="preserve">Zgoda / trening modeli AI</t>
  </si>
  <si>
    <t xml:space="preserve">Globalnie (opt-out w USA)</t>
  </si>
  <si>
    <t xml:space="preserve">2024</t>
  </si>
  <si>
    <t xml:space="preserve">310 000 000</t>
  </si>
  <si>
    <t xml:space="preserve">RODO art. 6 (brak podstawy), UK DPA</t>
  </si>
  <si>
    <t xml:space="preserve">Użytkownicy LinkedIn / media specjalistyczne</t>
  </si>
  <si>
    <t xml:space="preserve">Rollout UE z ograniczeniami 11.2025</t>
  </si>
  <si>
    <t xml:space="preserve">C05_linkedin_ai.md</t>
  </si>
  <si>
    <t xml:space="preserve">D01</t>
  </si>
  <si>
    <t xml:space="preserve">Ring — pracownicy i policja</t>
  </si>
  <si>
    <t xml:space="preserve">Amazon (Ring)</t>
  </si>
  <si>
    <t xml:space="preserve">Inwigilacja / partnerstwa z policją</t>
  </si>
  <si>
    <t xml:space="preserve">2016–2019</t>
  </si>
  <si>
    <t xml:space="preserve">5 800 000</t>
  </si>
  <si>
    <t xml:space="preserve">FTC Act sec. 5, COPPA</t>
  </si>
  <si>
    <t xml:space="preserve">The Intercept, Motherboard, FTC</t>
  </si>
  <si>
    <t xml:space="preserve">Zakończone — zwroty 117k klientów 2024</t>
  </si>
  <si>
    <t xml:space="preserve">D01_ring.md</t>
  </si>
  <si>
    <t xml:space="preserve">D — Amazon/Uber</t>
  </si>
  <si>
    <t xml:space="preserve">D02</t>
  </si>
  <si>
    <t xml:space="preserve">Alexa — pracownicy słuchający</t>
  </si>
  <si>
    <t xml:space="preserve">Amazon</t>
  </si>
  <si>
    <t xml:space="preserve">Podsłuch / wycieki</t>
  </si>
  <si>
    <t xml:space="preserve">RODO art. 15, FTC</t>
  </si>
  <si>
    <t xml:space="preserve">Bloomberg (Matt Day, Giles Turner, Natalia Drozdiak)</t>
  </si>
  <si>
    <t xml:space="preserve">Ugoda klasy 10.2024; opt-out od 2019</t>
  </si>
  <si>
    <t xml:space="preserve">D02_alexa.md</t>
  </si>
  <si>
    <t xml:space="preserve">D03</t>
  </si>
  <si>
    <t xml:space="preserve">FTC COPPA — Alexa i dzieci</t>
  </si>
  <si>
    <t xml:space="preserve">Ochrona dzieci / retencja danych</t>
  </si>
  <si>
    <t xml:space="preserve">25 000 000</t>
  </si>
  <si>
    <t xml:space="preserve">COPPA, FTC Act</t>
  </si>
  <si>
    <t xml:space="preserve">FTC z urzędu</t>
  </si>
  <si>
    <t xml:space="preserve">FTC settlement 5.2023</t>
  </si>
  <si>
    <t xml:space="preserve">D03_coppa_alexa.md</t>
  </si>
  <si>
    <t xml:space="preserve">D04</t>
  </si>
  <si>
    <t xml:space="preserve">God View</t>
  </si>
  <si>
    <t xml:space="preserve">Uber</t>
  </si>
  <si>
    <t xml:space="preserve">Stalking / nadużycie dostępu</t>
  </si>
  <si>
    <t xml:space="preserve">2011–2016</t>
  </si>
  <si>
    <t xml:space="preserve">148 000 000</t>
  </si>
  <si>
    <t xml:space="preserve">CCPA, NY stanowe prawo</t>
  </si>
  <si>
    <t xml:space="preserve">Johana Bhuiyan (BuzzFeed), Julia Allison</t>
  </si>
  <si>
    <t xml:space="preserve">FTC 20-letni monitoring; NY AG ugoda</t>
  </si>
  <si>
    <t xml:space="preserve">D04_god_view.md</t>
  </si>
  <si>
    <t xml:space="preserve">D05</t>
  </si>
  <si>
    <t xml:space="preserve">Greyball</t>
  </si>
  <si>
    <t xml:space="preserve">Oszukiwanie organów ścigania</t>
  </si>
  <si>
    <t xml:space="preserve">2014–2017</t>
  </si>
  <si>
    <t xml:space="preserve">148 000 000 (razem)</t>
  </si>
  <si>
    <t xml:space="preserve">Federalne i stanowe prawo (obstruction)</t>
  </si>
  <si>
    <t xml:space="preserve">Mike Isaac (NYT)</t>
  </si>
  <si>
    <t xml:space="preserve">Program zakończony 2017; reformy compliance</t>
  </si>
  <si>
    <t xml:space="preserve">D05_greyball.md</t>
  </si>
  <si>
    <t xml:space="preserve">D06</t>
  </si>
  <si>
    <t xml:space="preserve">Ukryty breach 57 mln — Joe Sullivan</t>
  </si>
  <si>
    <t xml:space="preserve">Ukrywanie naruszenia / precedens karny</t>
  </si>
  <si>
    <t xml:space="preserve">2016 (breach)</t>
  </si>
  <si>
    <t xml:space="preserve">Prawo stanowe, 18 USC 1505 (obstruction)</t>
  </si>
  <si>
    <t xml:space="preserve">Nowy CEO Dara Khosrowshahi (ujawnienie)</t>
  </si>
  <si>
    <t xml:space="preserve">Sullivan skazany 2022; wyrok 9th Cir 2025</t>
  </si>
  <si>
    <t xml:space="preserve">D06_uber_breach.md</t>
  </si>
  <si>
    <t xml:space="preserve">E01</t>
  </si>
  <si>
    <t xml:space="preserve">TikTok — śledzenie dziennikarzy</t>
  </si>
  <si>
    <t xml:space="preserve">ByteDance (TikTok)</t>
  </si>
  <si>
    <t xml:space="preserve">Inwigilacja dziennikarzy</t>
  </si>
  <si>
    <t xml:space="preserve">USA, UK</t>
  </si>
  <si>
    <t xml:space="preserve">2022</t>
  </si>
  <si>
    <t xml:space="preserve">Stanowe prawo, prawo prasy</t>
  </si>
  <si>
    <t xml:space="preserve">Emily Baker-White (Forbes)</t>
  </si>
  <si>
    <t xml:space="preserve">Śledztwo DOJ EDVA w toku; 4 zwolnieni</t>
  </si>
  <si>
    <t xml:space="preserve">E01_tiktok_dziennikarze.md</t>
  </si>
  <si>
    <t xml:space="preserve">E — TikTok/X/inne</t>
  </si>
  <si>
    <t xml:space="preserve">E02</t>
  </si>
  <si>
    <t xml:space="preserve">TikTok — kary za dane dzieci</t>
  </si>
  <si>
    <t xml:space="preserve">Ochrona dzieci / RODO</t>
  </si>
  <si>
    <t xml:space="preserve">UK, IE, FR, USA</t>
  </si>
  <si>
    <t xml:space="preserve">2018–2020</t>
  </si>
  <si>
    <t xml:space="preserve">345 000 000</t>
  </si>
  <si>
    <t xml:space="preserve">RODO, UK DPA, COPPA</t>
  </si>
  <si>
    <t xml:space="preserve">ICO UK, DPC IE, FTC</t>
  </si>
  <si>
    <t xml:space="preserve">W toku odwołanie Irish High Court</t>
  </si>
  <si>
    <t xml:space="preserve">E02_tiktok_kary_dzieci.md</t>
  </si>
  <si>
    <t xml:space="preserve">E03</t>
  </si>
  <si>
    <t xml:space="preserve">TikTok — zakazy i bezpieczeństwo narodowe</t>
  </si>
  <si>
    <t xml:space="preserve">Geopolityka / bezpieczeństwo narodowe</t>
  </si>
  <si>
    <t xml:space="preserve">USA, UE, IN, CA, AU</t>
  </si>
  <si>
    <t xml:space="preserve">2020–2026</t>
  </si>
  <si>
    <t xml:space="preserve">530 000 000</t>
  </si>
  <si>
    <t xml:space="preserve">Krajowe ustawy (PAFACA USA, UE rekomendacje)</t>
  </si>
  <si>
    <t xml:space="preserve">Trump (2020), Kongres USA (2024)</t>
  </si>
  <si>
    <t xml:space="preserve">UE: kara 2025; USA: USDS Joint Venture 01.2026</t>
  </si>
  <si>
    <t xml:space="preserve">E03_tiktok_zakazy.md</t>
  </si>
  <si>
    <t xml:space="preserve">E04</t>
  </si>
  <si>
    <t xml:space="preserve">X / Grok — deepfake i DSA</t>
  </si>
  <si>
    <t xml:space="preserve">X (Twitter), xAI</t>
  </si>
  <si>
    <t xml:space="preserve">AI / NCII / DSA</t>
  </si>
  <si>
    <t xml:space="preserve">UE, NL</t>
  </si>
  <si>
    <t xml:space="preserve">2024–2025</t>
  </si>
  <si>
    <t xml:space="preserve">120 000 000</t>
  </si>
  <si>
    <t xml:space="preserve">DSA, RODO, prawo krajowe</t>
  </si>
  <si>
    <t xml:space="preserve">Sąd holenderski, KE</t>
  </si>
  <si>
    <t xml:space="preserve">Aktywne śledztwo DSA, DPC, Ofcom, Paris</t>
  </si>
  <si>
    <t xml:space="preserve">E04_grok_dsa.md</t>
  </si>
  <si>
    <t xml:space="preserve">E05</t>
  </si>
  <si>
    <t xml:space="preserve">Clearview AI — 30 mld zdjęć twarzy</t>
  </si>
  <si>
    <t xml:space="preserve">Clearview AI</t>
  </si>
  <si>
    <t xml:space="preserve">Rozpoznawanie twarzy / scraping</t>
  </si>
  <si>
    <t xml:space="preserve">USA, UE, CA, AU, UK</t>
  </si>
  <si>
    <t xml:space="preserve">2017–2020</t>
  </si>
  <si>
    <t xml:space="preserve">100 000 000</t>
  </si>
  <si>
    <t xml:space="preserve">RODO, BIPA (Illinois), prawo krajowe</t>
  </si>
  <si>
    <t xml:space="preserve">Kashmir Hill (NYT)</t>
  </si>
  <si>
    <t xml:space="preserve">Kary UE niezapłacone; kontrakty ICE/CBP 2025-26</t>
  </si>
  <si>
    <t xml:space="preserve">E05_clearview.md</t>
  </si>
  <si>
    <t xml:space="preserve">E06</t>
  </si>
  <si>
    <t xml:space="preserve">Zoom — fałszywe E2EE</t>
  </si>
  <si>
    <t xml:space="preserve">Zoom Video Communications</t>
  </si>
  <si>
    <t xml:space="preserve">Wprowadzanie w błąd / szyfrowanie</t>
  </si>
  <si>
    <t xml:space="preserve">2019–2020</t>
  </si>
  <si>
    <t xml:space="preserve">85 000 000</t>
  </si>
  <si>
    <t xml:space="preserve">FTC Act, California UCL</t>
  </si>
  <si>
    <t xml:space="preserve">The Intercept (Micah Lee, Yael Grauer)</t>
  </si>
  <si>
    <t xml:space="preserve">FTC 20-letni monitoring do 2040</t>
  </si>
  <si>
    <t xml:space="preserve">E06_zoom.md</t>
  </si>
  <si>
    <t xml:space="preserve">Sekcja</t>
  </si>
  <si>
    <t xml:space="preserve">Opis</t>
  </si>
  <si>
    <t xml:space="preserve">Przykładowa długość</t>
  </si>
  <si>
    <t xml:space="preserve">1. Metadane</t>
  </si>
  <si>
    <t xml:space="preserve">ID, firma, kraj, lata, status, kara</t>
  </si>
  <si>
    <t xml:space="preserve">tabelka 5-10 wierszy</t>
  </si>
  <si>
    <t xml:space="preserve">2. TL;DR</t>
  </si>
  <si>
    <t xml:space="preserve">Streszczenie sprawy w 2-3 akapitach</t>
  </si>
  <si>
    <t xml:space="preserve">250-400 słów</t>
  </si>
  <si>
    <t xml:space="preserve">3. Oś czasu</t>
  </si>
  <si>
    <t xml:space="preserve">Chronologiczna lista kluczowych dat</t>
  </si>
  <si>
    <t xml:space="preserve">10-25 pozycji</t>
  </si>
  <si>
    <t xml:space="preserve">4. Mechanizm</t>
  </si>
  <si>
    <t xml:space="preserve">Jak działała sprawa — technicznie lub biznesowo</t>
  </si>
  <si>
    <t xml:space="preserve">500-800 słów</t>
  </si>
  <si>
    <t xml:space="preserve">5. Odkrycie</t>
  </si>
  <si>
    <t xml:space="preserve">Kto, kiedy, jak ujawnił</t>
  </si>
  <si>
    <t xml:space="preserve">300-500 słów</t>
  </si>
  <si>
    <t xml:space="preserve">6. Osoby kluczowe</t>
  </si>
  <si>
    <t xml:space="preserve">Sygnaliści, dziennikarze, prawnicy, regulatorzy</t>
  </si>
  <si>
    <t xml:space="preserve">bio 5-10 osób</t>
  </si>
  <si>
    <t xml:space="preserve">7. Reakcja firmy</t>
  </si>
  <si>
    <t xml:space="preserve">Co zrobiła, czego nie, komunikaty PR</t>
  </si>
  <si>
    <t xml:space="preserve">8. Postępowanie prawne</t>
  </si>
  <si>
    <t xml:space="preserve">Organy, jurysdykcje, podstawy prawne, etapy</t>
  </si>
  <si>
    <t xml:space="preserve">500-1000 słów</t>
  </si>
  <si>
    <t xml:space="preserve">9. Kary i ugody</t>
  </si>
  <si>
    <t xml:space="preserve">Konkretne kwoty, daty, warunki</t>
  </si>
  <si>
    <t xml:space="preserve">tabelka + opis</t>
  </si>
  <si>
    <t xml:space="preserve">10. Precedensy</t>
  </si>
  <si>
    <t xml:space="preserve">Jak to zmieniło prawo/orzecznictwo/praktykę</t>
  </si>
  <si>
    <t xml:space="preserve">400-600 słów</t>
  </si>
  <si>
    <t xml:space="preserve">11. Pozwy zbiorowe</t>
  </si>
  <si>
    <t xml:space="preserve">Aktywne i zamknięte pozwy, strony, stan</t>
  </si>
  <si>
    <t xml:space="preserve">200-400 słów</t>
  </si>
  <si>
    <t xml:space="preserve">12. Wnioski dla obywateli</t>
  </si>
  <si>
    <t xml:space="preserve">Praktyczne porady, ustawienia, prawa</t>
  </si>
  <si>
    <t xml:space="preserve">300-500 słów — SEKCJA PORTALU</t>
  </si>
  <si>
    <t xml:space="preserve">13. Ciekawostki</t>
  </si>
  <si>
    <t xml:space="preserve">Anegdoty, absurdalne cytaty, mało znane fakty</t>
  </si>
  <si>
    <t xml:space="preserve">14. Źródła</t>
  </si>
  <si>
    <t xml:space="preserve">Linki z datą dostępu, w kolejności chronologicznej</t>
  </si>
  <si>
    <t xml:space="preserve">15-30 pozycji</t>
  </si>
  <si>
    <t xml:space="preserve">Metryka</t>
  </si>
  <si>
    <t xml:space="preserve">Wartość</t>
  </si>
  <si>
    <t xml:space="preserve">Liczba spraw</t>
  </si>
  <si>
    <t xml:space="preserve">Sprawy TOP priorytet</t>
  </si>
  <si>
    <t xml:space="preserve">Suma kar EUR (przybliżenie)</t>
  </si>
  <si>
    <t xml:space="preserve">Patrz kolumna H w indeksie</t>
  </si>
  <si>
    <t xml:space="preserve">Suma kar USD (przybliżenie)</t>
  </si>
  <si>
    <t xml:space="preserve">Patrz kolumna I w indeksie</t>
  </si>
  <si>
    <t xml:space="preserve">Liczba firm</t>
  </si>
  <si>
    <t xml:space="preserve">Karty opracowane (pełen format 14 sekcji)</t>
  </si>
  <si>
    <t xml:space="preserve">POSTĘP PRODUKCJI</t>
  </si>
  <si>
    <t xml:space="preserve">Karty gotowe</t>
  </si>
  <si>
    <t xml:space="preserve">Karty w kolejce</t>
  </si>
  <si>
    <t xml:space="preserve">% ukończenia</t>
  </si>
  <si>
    <t xml:space="preserve">GRUPA A (META)</t>
  </si>
  <si>
    <t xml:space="preserve">Gotowe w Grupie A</t>
  </si>
  <si>
    <t xml:space="preserve">Wszystkich w Grupie 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</si>
</sst>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F5F2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5E8D4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8D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F5F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8"/>
    <col collapsed="false" customWidth="true" hidden="false" outlineLevel="0" max="3" min="3" style="1" width="28"/>
    <col collapsed="false" customWidth="true" hidden="false" outlineLevel="0" max="4" min="4" style="1" width="32"/>
    <col collapsed="false" customWidth="true" hidden="false" outlineLevel="0" max="5" min="5" style="1" width="22"/>
    <col collapsed="false" customWidth="true" hidden="false" outlineLevel="0" max="6" min="6" style="1" width="14"/>
    <col collapsed="false" customWidth="true" hidden="false" outlineLevel="0" max="7" min="7" style="1" width="28"/>
    <col collapsed="false" customWidth="true" hidden="false" outlineLevel="0" max="9" min="8" style="1" width="20"/>
    <col collapsed="false" customWidth="true" hidden="false" outlineLevel="0" max="10" min="10" style="1" width="40"/>
    <col collapsed="false" customWidth="true" hidden="false" outlineLevel="0" max="11" min="11" style="1" width="48"/>
    <col collapsed="false" customWidth="true" hidden="false" outlineLevel="0" max="12" min="12" style="1" width="32"/>
    <col collapsed="false" customWidth="true" hidden="false" outlineLevel="0" max="13" min="13" style="1" width="14"/>
    <col collapsed="false" customWidth="true" hidden="false" outlineLevel="0" max="14" min="14" style="1" width="28"/>
    <col collapsed="false" customWidth="true" hidden="false" outlineLevel="0" max="15" min="15" style="1" width="20"/>
    <col collapsed="false" customWidth="true" hidden="false" outlineLevel="0" max="16" min="16" style="1" width="16"/>
  </cols>
  <sheetData>
    <row r="1" customFormat="false" ht="49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23.25" hidden="false" customHeight="true" outlineLevel="0" collapsed="false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n">
        <v>2025</v>
      </c>
      <c r="G2" s="3" t="s">
        <v>21</v>
      </c>
      <c r="H2" s="3" t="s">
        <v>22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  <c r="P2" s="4" t="s">
        <v>29</v>
      </c>
    </row>
    <row r="3" customFormat="false" ht="23.25" hidden="false" customHeight="true" outlineLevel="0" collapsed="false">
      <c r="A3" s="3" t="s">
        <v>30</v>
      </c>
      <c r="B3" s="3" t="s">
        <v>31</v>
      </c>
      <c r="C3" s="3" t="s">
        <v>32</v>
      </c>
      <c r="D3" s="3" t="s">
        <v>33</v>
      </c>
      <c r="E3" s="3" t="s">
        <v>34</v>
      </c>
      <c r="F3" s="3" t="n">
        <v>2018</v>
      </c>
      <c r="G3" s="3" t="s">
        <v>35</v>
      </c>
      <c r="H3" s="3" t="s">
        <v>22</v>
      </c>
      <c r="I3" s="3" t="s">
        <v>36</v>
      </c>
      <c r="J3" s="3" t="s">
        <v>37</v>
      </c>
      <c r="K3" s="3" t="s">
        <v>38</v>
      </c>
      <c r="L3" s="3" t="s">
        <v>39</v>
      </c>
      <c r="M3" s="3" t="s">
        <v>26</v>
      </c>
      <c r="N3" s="3" t="s">
        <v>40</v>
      </c>
      <c r="O3" s="3" t="s">
        <v>28</v>
      </c>
      <c r="P3" s="4" t="s">
        <v>29</v>
      </c>
    </row>
    <row r="4" customFormat="false" ht="15" hidden="false" customHeight="true" outlineLevel="0" collapsed="false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n">
        <v>2019</v>
      </c>
      <c r="G4" s="5" t="s">
        <v>46</v>
      </c>
      <c r="H4" s="5" t="s">
        <v>22</v>
      </c>
      <c r="I4" s="5" t="s">
        <v>22</v>
      </c>
      <c r="J4" s="5" t="s">
        <v>47</v>
      </c>
      <c r="K4" s="5" t="s">
        <v>48</v>
      </c>
      <c r="L4" s="5" t="s">
        <v>49</v>
      </c>
      <c r="M4" s="5" t="s">
        <v>50</v>
      </c>
      <c r="N4" s="5" t="s">
        <v>51</v>
      </c>
      <c r="O4" s="5" t="s">
        <v>28</v>
      </c>
      <c r="P4" s="4" t="s">
        <v>29</v>
      </c>
    </row>
    <row r="5" customFormat="false" ht="23.25" hidden="false" customHeight="true" outlineLevel="0" collapsed="false">
      <c r="A5" s="5" t="s">
        <v>52</v>
      </c>
      <c r="B5" s="5" t="s">
        <v>53</v>
      </c>
      <c r="C5" s="5" t="s">
        <v>43</v>
      </c>
      <c r="D5" s="5" t="s">
        <v>54</v>
      </c>
      <c r="E5" s="5" t="s">
        <v>55</v>
      </c>
      <c r="F5" s="5" t="n">
        <v>2021</v>
      </c>
      <c r="G5" s="5" t="s">
        <v>56</v>
      </c>
      <c r="H5" s="5" t="s">
        <v>57</v>
      </c>
      <c r="I5" s="5" t="s">
        <v>22</v>
      </c>
      <c r="J5" s="5" t="s">
        <v>58</v>
      </c>
      <c r="K5" s="5" t="s">
        <v>59</v>
      </c>
      <c r="L5" s="5" t="s">
        <v>60</v>
      </c>
      <c r="M5" s="5" t="s">
        <v>50</v>
      </c>
      <c r="N5" s="5" t="s">
        <v>61</v>
      </c>
      <c r="O5" s="5" t="s">
        <v>28</v>
      </c>
      <c r="P5" s="4" t="s">
        <v>29</v>
      </c>
    </row>
    <row r="6" customFormat="false" ht="23.25" hidden="false" customHeight="true" outlineLevel="0" collapsed="false">
      <c r="A6" s="3" t="s">
        <v>62</v>
      </c>
      <c r="B6" s="3" t="s">
        <v>63</v>
      </c>
      <c r="C6" s="3" t="s">
        <v>64</v>
      </c>
      <c r="D6" s="3" t="s">
        <v>65</v>
      </c>
      <c r="E6" s="3" t="s">
        <v>66</v>
      </c>
      <c r="F6" s="3" t="n">
        <v>2021</v>
      </c>
      <c r="G6" s="3" t="s">
        <v>67</v>
      </c>
      <c r="H6" s="3" t="s">
        <v>22</v>
      </c>
      <c r="I6" s="3" t="s">
        <v>22</v>
      </c>
      <c r="J6" s="3" t="s">
        <v>68</v>
      </c>
      <c r="K6" s="3" t="s">
        <v>69</v>
      </c>
      <c r="L6" s="3" t="s">
        <v>70</v>
      </c>
      <c r="M6" s="3" t="s">
        <v>26</v>
      </c>
      <c r="N6" s="3" t="s">
        <v>71</v>
      </c>
      <c r="O6" s="3" t="s">
        <v>28</v>
      </c>
      <c r="P6" s="4" t="s">
        <v>29</v>
      </c>
    </row>
    <row r="7" customFormat="false" ht="23.25" hidden="false" customHeight="true" outlineLevel="0" collapsed="false">
      <c r="A7" s="5" t="s">
        <v>72</v>
      </c>
      <c r="B7" s="5" t="s">
        <v>73</v>
      </c>
      <c r="C7" s="5" t="s">
        <v>74</v>
      </c>
      <c r="D7" s="5" t="s">
        <v>75</v>
      </c>
      <c r="E7" s="5" t="s">
        <v>76</v>
      </c>
      <c r="F7" s="5" t="n">
        <v>2014</v>
      </c>
      <c r="G7" s="5" t="s">
        <v>77</v>
      </c>
      <c r="H7" s="5" t="s">
        <v>22</v>
      </c>
      <c r="I7" s="5" t="s">
        <v>22</v>
      </c>
      <c r="J7" s="5" t="s">
        <v>78</v>
      </c>
      <c r="K7" s="5" t="s">
        <v>79</v>
      </c>
      <c r="L7" s="5" t="s">
        <v>80</v>
      </c>
      <c r="M7" s="5" t="s">
        <v>50</v>
      </c>
      <c r="N7" s="5" t="s">
        <v>81</v>
      </c>
      <c r="O7" s="5" t="s">
        <v>28</v>
      </c>
      <c r="P7" s="4" t="s">
        <v>29</v>
      </c>
    </row>
    <row r="8" customFormat="false" ht="15" hidden="false" customHeight="true" outlineLevel="0" collapsed="false">
      <c r="A8" s="3" t="s">
        <v>82</v>
      </c>
      <c r="B8" s="3" t="s">
        <v>83</v>
      </c>
      <c r="C8" s="3" t="s">
        <v>43</v>
      </c>
      <c r="D8" s="3" t="s">
        <v>84</v>
      </c>
      <c r="E8" s="3" t="s">
        <v>85</v>
      </c>
      <c r="F8" s="3" t="n">
        <v>2023</v>
      </c>
      <c r="G8" s="3" t="s">
        <v>86</v>
      </c>
      <c r="H8" s="3" t="s">
        <v>87</v>
      </c>
      <c r="I8" s="3" t="s">
        <v>22</v>
      </c>
      <c r="J8" s="3" t="s">
        <v>88</v>
      </c>
      <c r="K8" s="3" t="s">
        <v>89</v>
      </c>
      <c r="L8" s="3" t="s">
        <v>90</v>
      </c>
      <c r="M8" s="3" t="s">
        <v>26</v>
      </c>
      <c r="N8" s="3" t="s">
        <v>91</v>
      </c>
      <c r="O8" s="3" t="s">
        <v>28</v>
      </c>
      <c r="P8" s="4" t="s">
        <v>29</v>
      </c>
    </row>
    <row r="9" customFormat="false" ht="23.25" hidden="false" customHeight="true" outlineLevel="0" collapsed="false">
      <c r="A9" s="5" t="s">
        <v>92</v>
      </c>
      <c r="B9" s="5" t="s">
        <v>93</v>
      </c>
      <c r="C9" s="5" t="s">
        <v>64</v>
      </c>
      <c r="D9" s="5" t="s">
        <v>94</v>
      </c>
      <c r="E9" s="5" t="s">
        <v>95</v>
      </c>
      <c r="F9" s="5" t="n">
        <v>2023</v>
      </c>
      <c r="G9" s="5" t="s">
        <v>96</v>
      </c>
      <c r="H9" s="5" t="s">
        <v>97</v>
      </c>
      <c r="I9" s="5" t="s">
        <v>22</v>
      </c>
      <c r="J9" s="5" t="s">
        <v>98</v>
      </c>
      <c r="K9" s="5" t="s">
        <v>99</v>
      </c>
      <c r="L9" s="5" t="s">
        <v>100</v>
      </c>
      <c r="M9" s="5" t="s">
        <v>50</v>
      </c>
      <c r="N9" s="5" t="s">
        <v>101</v>
      </c>
      <c r="O9" s="5" t="s">
        <v>28</v>
      </c>
      <c r="P9" s="4" t="s">
        <v>29</v>
      </c>
    </row>
    <row r="10" customFormat="false" ht="15" hidden="false" customHeight="true" outlineLevel="0" collapsed="false">
      <c r="A10" s="3" t="s">
        <v>102</v>
      </c>
      <c r="B10" s="3" t="s">
        <v>103</v>
      </c>
      <c r="C10" s="3" t="s">
        <v>64</v>
      </c>
      <c r="D10" s="3" t="s">
        <v>104</v>
      </c>
      <c r="E10" s="3" t="s">
        <v>95</v>
      </c>
      <c r="F10" s="3" t="n">
        <v>2025</v>
      </c>
      <c r="G10" s="3" t="s">
        <v>105</v>
      </c>
      <c r="H10" s="3" t="s">
        <v>106</v>
      </c>
      <c r="I10" s="3" t="s">
        <v>22</v>
      </c>
      <c r="J10" s="3" t="s">
        <v>107</v>
      </c>
      <c r="K10" s="3" t="s">
        <v>108</v>
      </c>
      <c r="L10" s="3" t="s">
        <v>109</v>
      </c>
      <c r="M10" s="3" t="s">
        <v>26</v>
      </c>
      <c r="N10" s="3" t="s">
        <v>110</v>
      </c>
      <c r="O10" s="3" t="s">
        <v>28</v>
      </c>
      <c r="P10" s="4" t="s">
        <v>29</v>
      </c>
    </row>
    <row r="11" customFormat="false" ht="23.25" hidden="false" customHeight="true" outlineLevel="0" collapsed="false">
      <c r="A11" s="5" t="s">
        <v>111</v>
      </c>
      <c r="B11" s="5" t="s">
        <v>112</v>
      </c>
      <c r="C11" s="5" t="s">
        <v>64</v>
      </c>
      <c r="D11" s="5" t="s">
        <v>113</v>
      </c>
      <c r="E11" s="5" t="s">
        <v>114</v>
      </c>
      <c r="F11" s="5" t="n">
        <v>2023</v>
      </c>
      <c r="G11" s="5" t="s">
        <v>115</v>
      </c>
      <c r="H11" s="5" t="s">
        <v>22</v>
      </c>
      <c r="I11" s="5" t="s">
        <v>116</v>
      </c>
      <c r="J11" s="5" t="s">
        <v>117</v>
      </c>
      <c r="K11" s="5" t="s">
        <v>118</v>
      </c>
      <c r="L11" s="5" t="s">
        <v>119</v>
      </c>
      <c r="M11" s="5" t="s">
        <v>50</v>
      </c>
      <c r="N11" s="5" t="s">
        <v>120</v>
      </c>
      <c r="O11" s="5" t="s">
        <v>28</v>
      </c>
      <c r="P11" s="4" t="s">
        <v>29</v>
      </c>
    </row>
    <row r="12" customFormat="false" ht="23.25" hidden="false" customHeight="true" outlineLevel="0" collapsed="false">
      <c r="A12" s="5" t="s">
        <v>121</v>
      </c>
      <c r="B12" s="5" t="s">
        <v>122</v>
      </c>
      <c r="C12" s="5" t="s">
        <v>123</v>
      </c>
      <c r="D12" s="5" t="s">
        <v>124</v>
      </c>
      <c r="E12" s="5" t="s">
        <v>66</v>
      </c>
      <c r="F12" s="5" t="n">
        <v>2010</v>
      </c>
      <c r="G12" s="5" t="s">
        <v>125</v>
      </c>
      <c r="H12" s="5" t="s">
        <v>126</v>
      </c>
      <c r="I12" s="5" t="s">
        <v>127</v>
      </c>
      <c r="J12" s="5" t="s">
        <v>128</v>
      </c>
      <c r="K12" s="5" t="s">
        <v>129</v>
      </c>
      <c r="L12" s="5" t="s">
        <v>130</v>
      </c>
      <c r="M12" s="5" t="s">
        <v>50</v>
      </c>
      <c r="N12" s="5" t="s">
        <v>131</v>
      </c>
      <c r="O12" s="5" t="s">
        <v>132</v>
      </c>
      <c r="P12" s="4" t="s">
        <v>29</v>
      </c>
    </row>
    <row r="13" customFormat="false" ht="23.25" hidden="false" customHeight="true" outlineLevel="0" collapsed="false">
      <c r="A13" s="5" t="s">
        <v>133</v>
      </c>
      <c r="B13" s="5" t="s">
        <v>134</v>
      </c>
      <c r="C13" s="5" t="s">
        <v>123</v>
      </c>
      <c r="D13" s="5" t="s">
        <v>135</v>
      </c>
      <c r="E13" s="5" t="s">
        <v>136</v>
      </c>
      <c r="F13" s="5" t="n">
        <v>2012</v>
      </c>
      <c r="G13" s="5" t="s">
        <v>137</v>
      </c>
      <c r="H13" s="5" t="s">
        <v>22</v>
      </c>
      <c r="I13" s="5" t="s">
        <v>138</v>
      </c>
      <c r="J13" s="5" t="s">
        <v>139</v>
      </c>
      <c r="K13" s="5" t="s">
        <v>140</v>
      </c>
      <c r="L13" s="5" t="s">
        <v>80</v>
      </c>
      <c r="M13" s="5" t="s">
        <v>50</v>
      </c>
      <c r="N13" s="5" t="s">
        <v>141</v>
      </c>
      <c r="O13" s="5" t="s">
        <v>132</v>
      </c>
      <c r="P13" s="4" t="s">
        <v>29</v>
      </c>
    </row>
    <row r="14" customFormat="false" ht="15" hidden="false" customHeight="true" outlineLevel="0" collapsed="false">
      <c r="A14" s="5" t="s">
        <v>142</v>
      </c>
      <c r="B14" s="5" t="s">
        <v>143</v>
      </c>
      <c r="C14" s="5" t="s">
        <v>123</v>
      </c>
      <c r="D14" s="5" t="s">
        <v>144</v>
      </c>
      <c r="E14" s="5" t="s">
        <v>145</v>
      </c>
      <c r="F14" s="5" t="n">
        <v>2018</v>
      </c>
      <c r="G14" s="5" t="s">
        <v>146</v>
      </c>
      <c r="H14" s="5" t="s">
        <v>22</v>
      </c>
      <c r="I14" s="5" t="s">
        <v>147</v>
      </c>
      <c r="J14" s="5" t="s">
        <v>148</v>
      </c>
      <c r="K14" s="5" t="s">
        <v>149</v>
      </c>
      <c r="L14" s="5" t="s">
        <v>150</v>
      </c>
      <c r="M14" s="5" t="s">
        <v>50</v>
      </c>
      <c r="N14" s="5" t="s">
        <v>151</v>
      </c>
      <c r="O14" s="5" t="s">
        <v>132</v>
      </c>
      <c r="P14" s="4" t="s">
        <v>29</v>
      </c>
    </row>
    <row r="15" customFormat="false" ht="15" hidden="false" customHeight="true" outlineLevel="0" collapsed="false">
      <c r="A15" s="3" t="s">
        <v>152</v>
      </c>
      <c r="B15" s="3" t="s">
        <v>153</v>
      </c>
      <c r="C15" s="3" t="s">
        <v>123</v>
      </c>
      <c r="D15" s="3" t="s">
        <v>154</v>
      </c>
      <c r="E15" s="3" t="s">
        <v>136</v>
      </c>
      <c r="F15" s="3" t="n">
        <v>2018</v>
      </c>
      <c r="G15" s="3" t="s">
        <v>35</v>
      </c>
      <c r="H15" s="3" t="s">
        <v>22</v>
      </c>
      <c r="I15" s="3" t="s">
        <v>155</v>
      </c>
      <c r="J15" s="3" t="s">
        <v>156</v>
      </c>
      <c r="K15" s="3" t="s">
        <v>157</v>
      </c>
      <c r="L15" s="3" t="s">
        <v>158</v>
      </c>
      <c r="M15" s="3" t="s">
        <v>26</v>
      </c>
      <c r="N15" s="3" t="s">
        <v>159</v>
      </c>
      <c r="O15" s="3" t="s">
        <v>132</v>
      </c>
      <c r="P15" s="4" t="s">
        <v>29</v>
      </c>
    </row>
    <row r="16" customFormat="false" ht="23.25" hidden="false" customHeight="true" outlineLevel="0" collapsed="false">
      <c r="A16" s="3" t="s">
        <v>160</v>
      </c>
      <c r="B16" s="3" t="s">
        <v>161</v>
      </c>
      <c r="C16" s="3" t="s">
        <v>123</v>
      </c>
      <c r="D16" s="3" t="s">
        <v>162</v>
      </c>
      <c r="E16" s="3" t="s">
        <v>76</v>
      </c>
      <c r="F16" s="3" t="n">
        <v>2020</v>
      </c>
      <c r="G16" s="3" t="s">
        <v>163</v>
      </c>
      <c r="H16" s="3" t="s">
        <v>22</v>
      </c>
      <c r="I16" s="3" t="s">
        <v>164</v>
      </c>
      <c r="J16" s="3" t="s">
        <v>165</v>
      </c>
      <c r="K16" s="3" t="s">
        <v>166</v>
      </c>
      <c r="L16" s="3" t="s">
        <v>167</v>
      </c>
      <c r="M16" s="3" t="s">
        <v>26</v>
      </c>
      <c r="N16" s="3" t="s">
        <v>168</v>
      </c>
      <c r="O16" s="3" t="s">
        <v>132</v>
      </c>
      <c r="P16" s="4" t="s">
        <v>29</v>
      </c>
    </row>
    <row r="17" customFormat="false" ht="15" hidden="false" customHeight="true" outlineLevel="0" collapsed="false">
      <c r="A17" s="5" t="s">
        <v>169</v>
      </c>
      <c r="B17" s="5" t="s">
        <v>170</v>
      </c>
      <c r="C17" s="5" t="s">
        <v>123</v>
      </c>
      <c r="D17" s="5" t="s">
        <v>171</v>
      </c>
      <c r="E17" s="5" t="s">
        <v>172</v>
      </c>
      <c r="F17" s="5" t="n">
        <v>2018</v>
      </c>
      <c r="G17" s="5" t="s">
        <v>173</v>
      </c>
      <c r="H17" s="5" t="s">
        <v>22</v>
      </c>
      <c r="I17" s="5" t="s">
        <v>22</v>
      </c>
      <c r="J17" s="5" t="s">
        <v>174</v>
      </c>
      <c r="K17" s="5" t="s">
        <v>175</v>
      </c>
      <c r="L17" s="5" t="s">
        <v>176</v>
      </c>
      <c r="M17" s="5" t="s">
        <v>50</v>
      </c>
      <c r="N17" s="5" t="s">
        <v>177</v>
      </c>
      <c r="O17" s="5" t="s">
        <v>132</v>
      </c>
      <c r="P17" s="4" t="s">
        <v>29</v>
      </c>
    </row>
    <row r="18" customFormat="false" ht="23.25" hidden="false" customHeight="true" outlineLevel="0" collapsed="false">
      <c r="A18" s="5" t="s">
        <v>178</v>
      </c>
      <c r="B18" s="5" t="s">
        <v>179</v>
      </c>
      <c r="C18" s="5" t="s">
        <v>180</v>
      </c>
      <c r="D18" s="5" t="s">
        <v>181</v>
      </c>
      <c r="E18" s="5" t="s">
        <v>66</v>
      </c>
      <c r="F18" s="5" t="n">
        <v>2017</v>
      </c>
      <c r="G18" s="5" t="s">
        <v>182</v>
      </c>
      <c r="H18" s="5" t="s">
        <v>183</v>
      </c>
      <c r="I18" s="5" t="s">
        <v>184</v>
      </c>
      <c r="J18" s="5" t="s">
        <v>185</v>
      </c>
      <c r="K18" s="5" t="s">
        <v>186</v>
      </c>
      <c r="L18" s="5" t="s">
        <v>187</v>
      </c>
      <c r="M18" s="5" t="s">
        <v>50</v>
      </c>
      <c r="N18" s="5" t="s">
        <v>188</v>
      </c>
      <c r="O18" s="5" t="s">
        <v>189</v>
      </c>
      <c r="P18" s="6" t="s">
        <v>29</v>
      </c>
    </row>
    <row r="19" customFormat="false" ht="15" hidden="false" customHeight="true" outlineLevel="0" collapsed="false">
      <c r="A19" s="5" t="s">
        <v>190</v>
      </c>
      <c r="B19" s="5" t="s">
        <v>191</v>
      </c>
      <c r="C19" s="5" t="s">
        <v>180</v>
      </c>
      <c r="D19" s="5" t="s">
        <v>192</v>
      </c>
      <c r="E19" s="5" t="s">
        <v>145</v>
      </c>
      <c r="F19" s="5" t="n">
        <v>2019</v>
      </c>
      <c r="G19" s="5" t="s">
        <v>193</v>
      </c>
      <c r="H19" s="5" t="s">
        <v>194</v>
      </c>
      <c r="I19" s="5" t="s">
        <v>194</v>
      </c>
      <c r="J19" s="5" t="s">
        <v>195</v>
      </c>
      <c r="K19" s="5" t="s">
        <v>196</v>
      </c>
      <c r="L19" s="5" t="s">
        <v>197</v>
      </c>
      <c r="M19" s="5" t="s">
        <v>50</v>
      </c>
      <c r="N19" s="5" t="s">
        <v>198</v>
      </c>
      <c r="O19" s="5" t="s">
        <v>189</v>
      </c>
      <c r="P19" s="6" t="s">
        <v>29</v>
      </c>
    </row>
    <row r="20" customFormat="false" ht="23.25" hidden="false" customHeight="true" outlineLevel="0" collapsed="false">
      <c r="A20" s="3" t="s">
        <v>199</v>
      </c>
      <c r="B20" s="3" t="s">
        <v>200</v>
      </c>
      <c r="C20" s="3" t="s">
        <v>180</v>
      </c>
      <c r="D20" s="3" t="s">
        <v>201</v>
      </c>
      <c r="E20" s="3" t="s">
        <v>145</v>
      </c>
      <c r="F20" s="3" t="n">
        <v>2021</v>
      </c>
      <c r="G20" s="3" t="s">
        <v>202</v>
      </c>
      <c r="H20" s="3" t="s">
        <v>22</v>
      </c>
      <c r="I20" s="3" t="s">
        <v>22</v>
      </c>
      <c r="J20" s="3" t="s">
        <v>203</v>
      </c>
      <c r="K20" s="3" t="s">
        <v>204</v>
      </c>
      <c r="L20" s="3" t="s">
        <v>205</v>
      </c>
      <c r="M20" s="3" t="s">
        <v>26</v>
      </c>
      <c r="N20" s="3" t="s">
        <v>206</v>
      </c>
      <c r="O20" s="3" t="s">
        <v>189</v>
      </c>
      <c r="P20" s="6" t="s">
        <v>29</v>
      </c>
    </row>
    <row r="21" customFormat="false" ht="23.25" hidden="false" customHeight="true" outlineLevel="0" collapsed="false">
      <c r="A21" s="5" t="s">
        <v>207</v>
      </c>
      <c r="B21" s="5" t="s">
        <v>208</v>
      </c>
      <c r="C21" s="5" t="s">
        <v>209</v>
      </c>
      <c r="D21" s="5" t="s">
        <v>210</v>
      </c>
      <c r="E21" s="5" t="s">
        <v>145</v>
      </c>
      <c r="F21" s="5" t="n">
        <v>2024</v>
      </c>
      <c r="G21" s="5" t="s">
        <v>211</v>
      </c>
      <c r="H21" s="5" t="s">
        <v>22</v>
      </c>
      <c r="I21" s="5" t="s">
        <v>22</v>
      </c>
      <c r="J21" s="5" t="s">
        <v>212</v>
      </c>
      <c r="K21" s="5" t="s">
        <v>213</v>
      </c>
      <c r="L21" s="5" t="s">
        <v>214</v>
      </c>
      <c r="M21" s="5" t="s">
        <v>50</v>
      </c>
      <c r="N21" s="5" t="s">
        <v>215</v>
      </c>
      <c r="O21" s="5" t="s">
        <v>189</v>
      </c>
      <c r="P21" s="6" t="s">
        <v>29</v>
      </c>
    </row>
    <row r="22" customFormat="false" ht="15" hidden="false" customHeight="true" outlineLevel="0" collapsed="false">
      <c r="A22" s="5" t="s">
        <v>216</v>
      </c>
      <c r="B22" s="5" t="s">
        <v>217</v>
      </c>
      <c r="C22" s="5" t="s">
        <v>218</v>
      </c>
      <c r="D22" s="5" t="s">
        <v>219</v>
      </c>
      <c r="E22" s="5" t="s">
        <v>220</v>
      </c>
      <c r="F22" s="5" t="n">
        <v>2024</v>
      </c>
      <c r="G22" s="5" t="s">
        <v>221</v>
      </c>
      <c r="H22" s="5" t="s">
        <v>222</v>
      </c>
      <c r="I22" s="5" t="s">
        <v>22</v>
      </c>
      <c r="J22" s="5" t="s">
        <v>223</v>
      </c>
      <c r="K22" s="5" t="s">
        <v>224</v>
      </c>
      <c r="L22" s="5" t="s">
        <v>225</v>
      </c>
      <c r="M22" s="5" t="s">
        <v>50</v>
      </c>
      <c r="N22" s="5" t="s">
        <v>226</v>
      </c>
      <c r="O22" s="5" t="s">
        <v>189</v>
      </c>
      <c r="P22" s="6" t="s">
        <v>29</v>
      </c>
    </row>
    <row r="23" customFormat="false" ht="15" hidden="false" customHeight="true" outlineLevel="0" collapsed="false">
      <c r="A23" s="5" t="s">
        <v>227</v>
      </c>
      <c r="B23" s="5" t="s">
        <v>228</v>
      </c>
      <c r="C23" s="5" t="s">
        <v>229</v>
      </c>
      <c r="D23" s="5" t="s">
        <v>230</v>
      </c>
      <c r="E23" s="5" t="s">
        <v>76</v>
      </c>
      <c r="F23" s="5" t="n">
        <v>2019</v>
      </c>
      <c r="G23" s="5" t="s">
        <v>231</v>
      </c>
      <c r="H23" s="5" t="s">
        <v>22</v>
      </c>
      <c r="I23" s="5" t="s">
        <v>232</v>
      </c>
      <c r="J23" s="5" t="s">
        <v>233</v>
      </c>
      <c r="K23" s="5" t="s">
        <v>234</v>
      </c>
      <c r="L23" s="5" t="s">
        <v>235</v>
      </c>
      <c r="M23" s="5" t="s">
        <v>50</v>
      </c>
      <c r="N23" s="5" t="s">
        <v>236</v>
      </c>
      <c r="O23" s="5" t="s">
        <v>237</v>
      </c>
      <c r="P23" s="6" t="s">
        <v>29</v>
      </c>
    </row>
    <row r="24" customFormat="false" ht="15" hidden="false" customHeight="true" outlineLevel="0" collapsed="false">
      <c r="A24" s="5" t="s">
        <v>238</v>
      </c>
      <c r="B24" s="5" t="s">
        <v>239</v>
      </c>
      <c r="C24" s="5" t="s">
        <v>240</v>
      </c>
      <c r="D24" s="5" t="s">
        <v>241</v>
      </c>
      <c r="E24" s="5" t="s">
        <v>145</v>
      </c>
      <c r="F24" s="5" t="n">
        <v>2019</v>
      </c>
      <c r="G24" s="5" t="s">
        <v>193</v>
      </c>
      <c r="H24" s="5" t="s">
        <v>22</v>
      </c>
      <c r="I24" s="5" t="s">
        <v>194</v>
      </c>
      <c r="J24" s="5" t="s">
        <v>242</v>
      </c>
      <c r="K24" s="5" t="s">
        <v>243</v>
      </c>
      <c r="L24" s="5" t="s">
        <v>244</v>
      </c>
      <c r="M24" s="5" t="s">
        <v>50</v>
      </c>
      <c r="N24" s="5" t="s">
        <v>245</v>
      </c>
      <c r="O24" s="5" t="s">
        <v>237</v>
      </c>
      <c r="P24" s="6" t="s">
        <v>29</v>
      </c>
    </row>
    <row r="25" customFormat="false" ht="15" hidden="false" customHeight="true" outlineLevel="0" collapsed="false">
      <c r="A25" s="5" t="s">
        <v>246</v>
      </c>
      <c r="B25" s="5" t="s">
        <v>247</v>
      </c>
      <c r="C25" s="5" t="s">
        <v>240</v>
      </c>
      <c r="D25" s="5" t="s">
        <v>248</v>
      </c>
      <c r="E25" s="5" t="s">
        <v>76</v>
      </c>
      <c r="F25" s="5" t="n">
        <v>2023</v>
      </c>
      <c r="G25" s="5" t="s">
        <v>96</v>
      </c>
      <c r="H25" s="5" t="s">
        <v>22</v>
      </c>
      <c r="I25" s="5" t="s">
        <v>249</v>
      </c>
      <c r="J25" s="5" t="s">
        <v>250</v>
      </c>
      <c r="K25" s="5" t="s">
        <v>251</v>
      </c>
      <c r="L25" s="5" t="s">
        <v>252</v>
      </c>
      <c r="M25" s="5" t="s">
        <v>50</v>
      </c>
      <c r="N25" s="5" t="s">
        <v>253</v>
      </c>
      <c r="O25" s="5" t="s">
        <v>237</v>
      </c>
      <c r="P25" s="6" t="s">
        <v>29</v>
      </c>
    </row>
    <row r="26" customFormat="false" ht="23.25" hidden="false" customHeight="true" outlineLevel="0" collapsed="false">
      <c r="A26" s="5" t="s">
        <v>254</v>
      </c>
      <c r="B26" s="5" t="s">
        <v>255</v>
      </c>
      <c r="C26" s="5" t="s">
        <v>256</v>
      </c>
      <c r="D26" s="5" t="s">
        <v>257</v>
      </c>
      <c r="E26" s="5" t="s">
        <v>76</v>
      </c>
      <c r="F26" s="5" t="n">
        <v>2014</v>
      </c>
      <c r="G26" s="5" t="s">
        <v>258</v>
      </c>
      <c r="H26" s="5" t="s">
        <v>22</v>
      </c>
      <c r="I26" s="5" t="s">
        <v>259</v>
      </c>
      <c r="J26" s="5" t="s">
        <v>260</v>
      </c>
      <c r="K26" s="5" t="s">
        <v>261</v>
      </c>
      <c r="L26" s="5" t="s">
        <v>262</v>
      </c>
      <c r="M26" s="5" t="s">
        <v>50</v>
      </c>
      <c r="N26" s="5" t="s">
        <v>263</v>
      </c>
      <c r="O26" s="5" t="s">
        <v>237</v>
      </c>
      <c r="P26" s="6" t="s">
        <v>29</v>
      </c>
    </row>
    <row r="27" customFormat="false" ht="15" hidden="false" customHeight="true" outlineLevel="0" collapsed="false">
      <c r="A27" s="5" t="s">
        <v>264</v>
      </c>
      <c r="B27" s="5" t="s">
        <v>265</v>
      </c>
      <c r="C27" s="5" t="s">
        <v>256</v>
      </c>
      <c r="D27" s="5" t="s">
        <v>266</v>
      </c>
      <c r="E27" s="5" t="s">
        <v>145</v>
      </c>
      <c r="F27" s="5" t="n">
        <v>2017</v>
      </c>
      <c r="G27" s="5" t="s">
        <v>267</v>
      </c>
      <c r="H27" s="5" t="s">
        <v>22</v>
      </c>
      <c r="I27" s="5" t="s">
        <v>268</v>
      </c>
      <c r="J27" s="5" t="s">
        <v>269</v>
      </c>
      <c r="K27" s="5" t="s">
        <v>270</v>
      </c>
      <c r="L27" s="5" t="s">
        <v>271</v>
      </c>
      <c r="M27" s="5" t="s">
        <v>50</v>
      </c>
      <c r="N27" s="5" t="s">
        <v>272</v>
      </c>
      <c r="O27" s="5" t="s">
        <v>237</v>
      </c>
      <c r="P27" s="6" t="s">
        <v>29</v>
      </c>
    </row>
    <row r="28" customFormat="false" ht="34.5" hidden="false" customHeight="true" outlineLevel="0" collapsed="false">
      <c r="A28" s="3" t="s">
        <v>273</v>
      </c>
      <c r="B28" s="3" t="s">
        <v>274</v>
      </c>
      <c r="C28" s="3" t="s">
        <v>256</v>
      </c>
      <c r="D28" s="3" t="s">
        <v>275</v>
      </c>
      <c r="E28" s="3" t="s">
        <v>45</v>
      </c>
      <c r="F28" s="3" t="n">
        <v>2017</v>
      </c>
      <c r="G28" s="3" t="s">
        <v>276</v>
      </c>
      <c r="H28" s="3" t="s">
        <v>22</v>
      </c>
      <c r="I28" s="3" t="s">
        <v>259</v>
      </c>
      <c r="J28" s="3" t="s">
        <v>277</v>
      </c>
      <c r="K28" s="3" t="s">
        <v>278</v>
      </c>
      <c r="L28" s="3" t="s">
        <v>279</v>
      </c>
      <c r="M28" s="3" t="s">
        <v>26</v>
      </c>
      <c r="N28" s="3" t="s">
        <v>280</v>
      </c>
      <c r="O28" s="3" t="s">
        <v>237</v>
      </c>
      <c r="P28" s="6" t="s">
        <v>29</v>
      </c>
    </row>
    <row r="29" customFormat="false" ht="23.25" hidden="false" customHeight="true" outlineLevel="0" collapsed="false">
      <c r="A29" s="5" t="s">
        <v>281</v>
      </c>
      <c r="B29" s="5" t="s">
        <v>282</v>
      </c>
      <c r="C29" s="5" t="s">
        <v>283</v>
      </c>
      <c r="D29" s="5" t="s">
        <v>284</v>
      </c>
      <c r="E29" s="5" t="s">
        <v>285</v>
      </c>
      <c r="F29" s="5" t="n">
        <v>2022</v>
      </c>
      <c r="G29" s="5" t="s">
        <v>286</v>
      </c>
      <c r="H29" s="5" t="s">
        <v>22</v>
      </c>
      <c r="I29" s="5" t="s">
        <v>22</v>
      </c>
      <c r="J29" s="5" t="s">
        <v>287</v>
      </c>
      <c r="K29" s="5" t="s">
        <v>288</v>
      </c>
      <c r="L29" s="5" t="s">
        <v>289</v>
      </c>
      <c r="M29" s="5" t="s">
        <v>50</v>
      </c>
      <c r="N29" s="5" t="s">
        <v>290</v>
      </c>
      <c r="O29" s="5" t="s">
        <v>291</v>
      </c>
      <c r="P29" s="6" t="s">
        <v>29</v>
      </c>
    </row>
    <row r="30" customFormat="false" ht="15" hidden="false" customHeight="true" outlineLevel="0" collapsed="false">
      <c r="A30" s="5" t="s">
        <v>292</v>
      </c>
      <c r="B30" s="5" t="s">
        <v>293</v>
      </c>
      <c r="C30" s="5" t="s">
        <v>283</v>
      </c>
      <c r="D30" s="5" t="s">
        <v>294</v>
      </c>
      <c r="E30" s="5" t="s">
        <v>295</v>
      </c>
      <c r="F30" s="5" t="n">
        <v>2023</v>
      </c>
      <c r="G30" s="5" t="s">
        <v>296</v>
      </c>
      <c r="H30" s="5" t="s">
        <v>297</v>
      </c>
      <c r="I30" s="5" t="s">
        <v>22</v>
      </c>
      <c r="J30" s="5" t="s">
        <v>298</v>
      </c>
      <c r="K30" s="5" t="s">
        <v>299</v>
      </c>
      <c r="L30" s="5" t="s">
        <v>300</v>
      </c>
      <c r="M30" s="5" t="s">
        <v>50</v>
      </c>
      <c r="N30" s="5" t="s">
        <v>301</v>
      </c>
      <c r="O30" s="5" t="s">
        <v>291</v>
      </c>
      <c r="P30" s="6" t="s">
        <v>29</v>
      </c>
    </row>
    <row r="31" customFormat="false" ht="23.25" hidden="false" customHeight="true" outlineLevel="0" collapsed="false">
      <c r="A31" s="3" t="s">
        <v>302</v>
      </c>
      <c r="B31" s="3" t="s">
        <v>303</v>
      </c>
      <c r="C31" s="3" t="s">
        <v>283</v>
      </c>
      <c r="D31" s="3" t="s">
        <v>304</v>
      </c>
      <c r="E31" s="3" t="s">
        <v>305</v>
      </c>
      <c r="F31" s="3" t="n">
        <v>2020</v>
      </c>
      <c r="G31" s="3" t="s">
        <v>306</v>
      </c>
      <c r="H31" s="3" t="s">
        <v>307</v>
      </c>
      <c r="I31" s="3" t="s">
        <v>22</v>
      </c>
      <c r="J31" s="3" t="s">
        <v>308</v>
      </c>
      <c r="K31" s="3" t="s">
        <v>309</v>
      </c>
      <c r="L31" s="3" t="s">
        <v>310</v>
      </c>
      <c r="M31" s="3" t="s">
        <v>26</v>
      </c>
      <c r="N31" s="3" t="s">
        <v>311</v>
      </c>
      <c r="O31" s="3" t="s">
        <v>291</v>
      </c>
      <c r="P31" s="6" t="s">
        <v>29</v>
      </c>
    </row>
    <row r="32" customFormat="false" ht="15" hidden="false" customHeight="true" outlineLevel="0" collapsed="false">
      <c r="A32" s="5" t="s">
        <v>312</v>
      </c>
      <c r="B32" s="5" t="s">
        <v>313</v>
      </c>
      <c r="C32" s="5" t="s">
        <v>314</v>
      </c>
      <c r="D32" s="5" t="s">
        <v>315</v>
      </c>
      <c r="E32" s="5" t="s">
        <v>316</v>
      </c>
      <c r="F32" s="5" t="n">
        <v>2024</v>
      </c>
      <c r="G32" s="5" t="s">
        <v>317</v>
      </c>
      <c r="H32" s="5" t="s">
        <v>318</v>
      </c>
      <c r="I32" s="5" t="s">
        <v>22</v>
      </c>
      <c r="J32" s="5" t="s">
        <v>319</v>
      </c>
      <c r="K32" s="5" t="s">
        <v>320</v>
      </c>
      <c r="L32" s="5" t="s">
        <v>321</v>
      </c>
      <c r="M32" s="5" t="s">
        <v>50</v>
      </c>
      <c r="N32" s="5" t="s">
        <v>322</v>
      </c>
      <c r="O32" s="5" t="s">
        <v>291</v>
      </c>
      <c r="P32" s="6" t="s">
        <v>29</v>
      </c>
    </row>
    <row r="33" customFormat="false" ht="15" hidden="false" customHeight="true" outlineLevel="0" collapsed="false">
      <c r="A33" s="3" t="s">
        <v>323</v>
      </c>
      <c r="B33" s="3" t="s">
        <v>324</v>
      </c>
      <c r="C33" s="3" t="s">
        <v>325</v>
      </c>
      <c r="D33" s="3" t="s">
        <v>326</v>
      </c>
      <c r="E33" s="3" t="s">
        <v>327</v>
      </c>
      <c r="F33" s="3" t="n">
        <v>2020</v>
      </c>
      <c r="G33" s="3" t="s">
        <v>328</v>
      </c>
      <c r="H33" s="3" t="s">
        <v>329</v>
      </c>
      <c r="I33" s="3" t="s">
        <v>22</v>
      </c>
      <c r="J33" s="3" t="s">
        <v>330</v>
      </c>
      <c r="K33" s="3" t="s">
        <v>331</v>
      </c>
      <c r="L33" s="3" t="s">
        <v>332</v>
      </c>
      <c r="M33" s="3" t="s">
        <v>26</v>
      </c>
      <c r="N33" s="3" t="s">
        <v>333</v>
      </c>
      <c r="O33" s="3" t="s">
        <v>291</v>
      </c>
      <c r="P33" s="6" t="s">
        <v>29</v>
      </c>
    </row>
    <row r="34" customFormat="false" ht="15" hidden="false" customHeight="true" outlineLevel="0" collapsed="false">
      <c r="A34" s="5" t="s">
        <v>334</v>
      </c>
      <c r="B34" s="5" t="s">
        <v>335</v>
      </c>
      <c r="C34" s="5" t="s">
        <v>336</v>
      </c>
      <c r="D34" s="5" t="s">
        <v>337</v>
      </c>
      <c r="E34" s="5" t="s">
        <v>45</v>
      </c>
      <c r="F34" s="5" t="n">
        <v>2020</v>
      </c>
      <c r="G34" s="5" t="s">
        <v>338</v>
      </c>
      <c r="H34" s="5" t="s">
        <v>22</v>
      </c>
      <c r="I34" s="5" t="s">
        <v>339</v>
      </c>
      <c r="J34" s="5" t="s">
        <v>340</v>
      </c>
      <c r="K34" s="5" t="s">
        <v>341</v>
      </c>
      <c r="L34" s="5" t="s">
        <v>342</v>
      </c>
      <c r="M34" s="5" t="s">
        <v>50</v>
      </c>
      <c r="N34" s="5" t="s">
        <v>343</v>
      </c>
      <c r="O34" s="5" t="s">
        <v>291</v>
      </c>
      <c r="P34" s="6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55"/>
    <col collapsed="false" customWidth="true" hidden="false" outlineLevel="0" max="3" min="3" style="1" width="35"/>
  </cols>
  <sheetData>
    <row r="1" customFormat="false" ht="15" hidden="false" customHeight="true" outlineLevel="0" collapsed="false">
      <c r="A1" s="7" t="s">
        <v>344</v>
      </c>
      <c r="B1" s="7" t="s">
        <v>345</v>
      </c>
      <c r="C1" s="7" t="s">
        <v>346</v>
      </c>
    </row>
    <row r="2" customFormat="false" ht="15" hidden="false" customHeight="true" outlineLevel="0" collapsed="false">
      <c r="A2" s="5" t="s">
        <v>347</v>
      </c>
      <c r="B2" s="5" t="s">
        <v>348</v>
      </c>
      <c r="C2" s="5" t="s">
        <v>349</v>
      </c>
    </row>
    <row r="3" customFormat="false" ht="15" hidden="false" customHeight="true" outlineLevel="0" collapsed="false">
      <c r="A3" s="5" t="s">
        <v>350</v>
      </c>
      <c r="B3" s="5" t="s">
        <v>351</v>
      </c>
      <c r="C3" s="5" t="s">
        <v>352</v>
      </c>
    </row>
    <row r="4" customFormat="false" ht="15" hidden="false" customHeight="true" outlineLevel="0" collapsed="false">
      <c r="A4" s="5" t="s">
        <v>353</v>
      </c>
      <c r="B4" s="5" t="s">
        <v>354</v>
      </c>
      <c r="C4" s="5" t="s">
        <v>355</v>
      </c>
    </row>
    <row r="5" customFormat="false" ht="15" hidden="false" customHeight="true" outlineLevel="0" collapsed="false">
      <c r="A5" s="5" t="s">
        <v>356</v>
      </c>
      <c r="B5" s="5" t="s">
        <v>357</v>
      </c>
      <c r="C5" s="5" t="s">
        <v>358</v>
      </c>
    </row>
    <row r="6" customFormat="false" ht="15" hidden="false" customHeight="true" outlineLevel="0" collapsed="false">
      <c r="A6" s="5" t="s">
        <v>359</v>
      </c>
      <c r="B6" s="5" t="s">
        <v>360</v>
      </c>
      <c r="C6" s="5" t="s">
        <v>361</v>
      </c>
    </row>
    <row r="7" customFormat="false" ht="15" hidden="false" customHeight="true" outlineLevel="0" collapsed="false">
      <c r="A7" s="5" t="s">
        <v>362</v>
      </c>
      <c r="B7" s="5" t="s">
        <v>363</v>
      </c>
      <c r="C7" s="5" t="s">
        <v>364</v>
      </c>
    </row>
    <row r="8" customFormat="false" ht="15" hidden="false" customHeight="true" outlineLevel="0" collapsed="false">
      <c r="A8" s="5" t="s">
        <v>365</v>
      </c>
      <c r="B8" s="5" t="s">
        <v>366</v>
      </c>
      <c r="C8" s="5" t="s">
        <v>361</v>
      </c>
    </row>
    <row r="9" customFormat="false" ht="15" hidden="false" customHeight="true" outlineLevel="0" collapsed="false">
      <c r="A9" s="5" t="s">
        <v>367</v>
      </c>
      <c r="B9" s="5" t="s">
        <v>368</v>
      </c>
      <c r="C9" s="5" t="s">
        <v>369</v>
      </c>
    </row>
    <row r="10" customFormat="false" ht="15" hidden="false" customHeight="true" outlineLevel="0" collapsed="false">
      <c r="A10" s="5" t="s">
        <v>370</v>
      </c>
      <c r="B10" s="5" t="s">
        <v>371</v>
      </c>
      <c r="C10" s="5" t="s">
        <v>372</v>
      </c>
    </row>
    <row r="11" customFormat="false" ht="15" hidden="false" customHeight="true" outlineLevel="0" collapsed="false">
      <c r="A11" s="5" t="s">
        <v>373</v>
      </c>
      <c r="B11" s="5" t="s">
        <v>374</v>
      </c>
      <c r="C11" s="5" t="s">
        <v>375</v>
      </c>
    </row>
    <row r="12" customFormat="false" ht="15" hidden="false" customHeight="true" outlineLevel="0" collapsed="false">
      <c r="A12" s="5" t="s">
        <v>376</v>
      </c>
      <c r="B12" s="5" t="s">
        <v>377</v>
      </c>
      <c r="C12" s="5" t="s">
        <v>378</v>
      </c>
    </row>
    <row r="13" customFormat="false" ht="15" hidden="false" customHeight="true" outlineLevel="0" collapsed="false">
      <c r="A13" s="5" t="s">
        <v>379</v>
      </c>
      <c r="B13" s="5" t="s">
        <v>380</v>
      </c>
      <c r="C13" s="5" t="s">
        <v>381</v>
      </c>
    </row>
    <row r="14" customFormat="false" ht="15" hidden="false" customHeight="true" outlineLevel="0" collapsed="false">
      <c r="A14" s="5" t="s">
        <v>382</v>
      </c>
      <c r="B14" s="5" t="s">
        <v>383</v>
      </c>
      <c r="C14" s="5" t="s">
        <v>378</v>
      </c>
    </row>
    <row r="15" customFormat="false" ht="15" hidden="false" customHeight="true" outlineLevel="0" collapsed="false">
      <c r="A15" s="5" t="s">
        <v>384</v>
      </c>
      <c r="B15" s="5" t="s">
        <v>385</v>
      </c>
      <c r="C15" s="5" t="s">
        <v>386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0"/>
  </cols>
  <sheetData>
    <row r="1" customFormat="false" ht="15" hidden="false" customHeight="true" outlineLevel="0" collapsed="false">
      <c r="A1" s="7" t="s">
        <v>387</v>
      </c>
      <c r="B1" s="7" t="s">
        <v>388</v>
      </c>
    </row>
    <row r="2" customFormat="false" ht="15" hidden="false" customHeight="true" outlineLevel="0" collapsed="false">
      <c r="A2" s="8" t="s">
        <v>389</v>
      </c>
      <c r="B2" s="8" t="n">
        <f aca="false">COUNTA('Indeks spraw'!A2:A34)</f>
        <v>33</v>
      </c>
    </row>
    <row r="3" customFormat="false" ht="15" hidden="false" customHeight="true" outlineLevel="0" collapsed="false">
      <c r="A3" s="8" t="s">
        <v>390</v>
      </c>
      <c r="B3" s="8" t="n">
        <f aca="false">COUNTIF('Indeks spraw'!M2:M34,"TAK")</f>
        <v>11</v>
      </c>
    </row>
    <row r="4" customFormat="false" ht="15" hidden="false" customHeight="true" outlineLevel="0" collapsed="false">
      <c r="A4" s="8" t="s">
        <v>391</v>
      </c>
      <c r="B4" s="8" t="s">
        <v>392</v>
      </c>
    </row>
    <row r="5" customFormat="false" ht="15" hidden="false" customHeight="true" outlineLevel="0" collapsed="false">
      <c r="A5" s="8" t="s">
        <v>393</v>
      </c>
      <c r="B5" s="8" t="s">
        <v>394</v>
      </c>
    </row>
    <row r="6" customFormat="false" ht="15" hidden="false" customHeight="true" outlineLevel="0" collapsed="false">
      <c r="A6" s="8" t="s">
        <v>395</v>
      </c>
      <c r="B6" s="8" t="n">
        <f aca="false">SUMPRODUCT(1/COUNTIF('Indeks spraw'!C2:C34,'Indeks spraw'!C2:C34))</f>
        <v>16</v>
      </c>
    </row>
    <row r="7" customFormat="false" ht="15" hidden="false" customHeight="true" outlineLevel="0" collapsed="false">
      <c r="A7" s="8" t="s">
        <v>396</v>
      </c>
      <c r="B7" s="8" t="n">
        <f aca="false">COUNTIF('Indeks spraw'!P2:P34,"✅ TAK")</f>
        <v>0</v>
      </c>
    </row>
    <row r="9" customFormat="false" ht="15" hidden="false" customHeight="true" outlineLevel="0" collapsed="false">
      <c r="A9" s="9" t="s">
        <v>397</v>
      </c>
    </row>
    <row r="10" customFormat="false" ht="15" hidden="false" customHeight="true" outlineLevel="0" collapsed="false">
      <c r="A10" s="1" t="s">
        <v>398</v>
      </c>
      <c r="B10" s="1" t="n">
        <f aca="false">COUNTIF('Indeks spraw'!P2:P34,"✅ GOTOWA")</f>
        <v>33</v>
      </c>
    </row>
    <row r="11" customFormat="false" ht="15" hidden="false" customHeight="true" outlineLevel="0" collapsed="false">
      <c r="A11" s="1" t="s">
        <v>399</v>
      </c>
      <c r="B11" s="1" t="n">
        <f aca="false">COUNTIF('Indeks spraw'!P2:P34,"🔄 w kolejce")</f>
        <v>0</v>
      </c>
    </row>
    <row r="12" customFormat="false" ht="15" hidden="false" customHeight="true" outlineLevel="0" collapsed="false">
      <c r="A12" s="1" t="s">
        <v>400</v>
      </c>
      <c r="B12" s="10" t="n">
        <f aca="false">COUNTIF('Indeks spraw'!P2:P34,"✅ GOTOWA")/COUNTA('Indeks spraw'!A2:A34)</f>
        <v>1</v>
      </c>
    </row>
    <row r="14" customFormat="false" ht="15" hidden="false" customHeight="true" outlineLevel="0" collapsed="false">
      <c r="A14" s="9" t="s">
        <v>401</v>
      </c>
    </row>
    <row r="15" customFormat="false" ht="15" hidden="false" customHeight="true" outlineLevel="0" collapsed="false">
      <c r="A15" s="1" t="s">
        <v>402</v>
      </c>
      <c r="B15" s="1" t="n">
        <f aca="false">COUNTIFS('Indeks spraw'!O2:O34,"A — Meta",'Indeks spraw'!P2:P34,"✅ GOTOWA")</f>
        <v>10</v>
      </c>
    </row>
    <row r="16" customFormat="false" ht="15" hidden="false" customHeight="true" outlineLevel="0" collapsed="false">
      <c r="A16" s="1" t="s">
        <v>403</v>
      </c>
      <c r="B16" s="1" t="n">
        <f aca="false">COUNTIF('Indeks spraw'!O2:O34,"A — Meta")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2026-04-17T18:31:53Z</dcterms:created>
  <dc:creator>openpyxl</dc:creator>
  <dc:description/>
  <dc:language>en-US</dc:language>
  <cp:lastModifiedBy/>
  <dcterms:modified xsi:type="dcterms:W3CDTF">2026-04-18T10:17:10Z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